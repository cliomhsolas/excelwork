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rmo\Documents\GitHub\excelwork\"/>
    </mc:Choice>
  </mc:AlternateContent>
  <xr:revisionPtr revIDLastSave="0" documentId="8_{963757A2-86FA-47DE-8F72-4A4E63B892B1}" xr6:coauthVersionLast="47" xr6:coauthVersionMax="47" xr10:uidLastSave="{00000000-0000-0000-0000-000000000000}"/>
  <bookViews>
    <workbookView xWindow="57480" yWindow="-120" windowWidth="29040" windowHeight="15720" xr2:uid="{FBD8283F-BBB9-4BE9-9631-0F9C99A2484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2" i="1"/>
  <c r="I2" i="1"/>
  <c r="I3" i="1"/>
  <c r="I4" i="1"/>
  <c r="I5" i="1"/>
  <c r="H3" i="1"/>
  <c r="H4" i="1"/>
  <c r="H5" i="1"/>
  <c r="H2" i="1"/>
  <c r="P4" i="1"/>
  <c r="Q4" i="1" s="1"/>
  <c r="P5" i="1"/>
  <c r="Q5" i="1" s="1"/>
  <c r="P3" i="1"/>
  <c r="Q3" i="1" s="1"/>
  <c r="F3" i="1" a="1"/>
  <c r="F4" i="1" a="1"/>
  <c r="F5" i="1" a="1"/>
  <c r="F2" i="1" a="1"/>
  <c r="E3" i="1" a="1"/>
  <c r="E4" i="1" a="1"/>
  <c r="E6" i="1" a="1"/>
  <c r="E5" i="1" a="1"/>
  <c r="E2" i="1" a="1"/>
  <c r="D5" i="1" a="1"/>
  <c r="C5" i="1" a="1"/>
  <c r="C4" i="1" a="1"/>
  <c r="D4" i="1" a="1"/>
  <c r="C3" i="1" a="1"/>
  <c r="D3" i="1" a="1"/>
  <c r="D2" i="1" a="1"/>
  <c r="C2" i="1" a="1"/>
  <c r="F5" i="1" l="1"/>
  <c r="F4" i="1"/>
  <c r="F3" i="1"/>
  <c r="F2" i="1"/>
  <c r="E5" i="1"/>
  <c r="G5" i="1" s="1"/>
  <c r="E6" i="1"/>
  <c r="E4" i="1"/>
  <c r="G4" i="1" s="1"/>
  <c r="E3" i="1"/>
  <c r="G3" i="1" s="1"/>
  <c r="E2" i="1"/>
  <c r="G2" i="1" s="1"/>
  <c r="D5" i="1"/>
  <c r="C5" i="1"/>
  <c r="D4" i="1"/>
  <c r="C4" i="1"/>
  <c r="C3" i="1"/>
  <c r="D3" i="1"/>
  <c r="D2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<sst xmlns="http://schemas.openxmlformats.org/spreadsheetml/2006/main" count="47" uniqueCount="45">
  <si>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tom's - _ cabin</t>
  </si>
  <si>
    <t>toms cabin</t>
  </si>
  <si>
    <t>non word chars</t>
  </si>
  <si>
    <t>[^a-zA-Z]</t>
  </si>
  <si>
    <t>[^a-zA-Z ]</t>
  </si>
  <si>
    <t>matchs any letter or space</t>
  </si>
  <si>
    <t>return non word</t>
  </si>
  <si>
    <t>[a-zA-Z ]</t>
  </si>
  <si>
    <t>word chars</t>
  </si>
  <si>
    <t>billys cabin</t>
  </si>
  <si>
    <t>jimm'ys cabin</t>
  </si>
  <si>
    <t>jimmys cabin</t>
  </si>
  <si>
    <t>spanish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</si>
  <si>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</si>
  <si>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</si>
  <si>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</si>
  <si>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</si>
  <si>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</si>
  <si>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</si>
  <si>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</si>
  <si>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</si>
  <si>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October</t>
  </si>
  <si>
    <t>November</t>
  </si>
  <si>
    <t>December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</si>
  <si>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</si>
  <si>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</si>
  <si>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</si>
  <si>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</si>
  <si>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</si>
  <si>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</si>
  <si>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</si>
  <si>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</si>
  <si>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octubre</t>
  </si>
  <si>
    <t>noviembre</t>
  </si>
  <si>
    <t>diciembre</t>
  </si>
  <si>
    <t>septiembre</t>
  </si>
  <si>
    <t>september</t>
  </si>
  <si>
    <t>remove non number</t>
  </si>
  <si>
    <t>be12345678</t>
  </si>
  <si>
    <t>iscella in b</t>
  </si>
  <si>
    <t>cleaned cell a</t>
  </si>
  <si>
    <t>cleaned cell b</t>
  </si>
  <si>
    <t>simpleformula lookup</t>
  </si>
  <si>
    <t>simple formula clean cell a</t>
  </si>
  <si>
    <t>simple formual clean cellb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</si>
</sst>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790C2-794E-4737-B2E8-9729F0808A1D}">
  <sheetPr codeName="Sheet1"/>
  <dimension ref="A1:T14"/>
  <sheetViews>
    <sheetView tabSelected="1" workbookViewId="0">
      <selection activeCell="I7" sqref="I7"/>
    </sheetView>
  </sheetViews>
  <sheetFormatPr defaultRowHeight="14.5" x14ac:dyDescent="0.35"/>
  <cols>
    <col min="1" max="1" width="13.1796875" customWidth="1"/>
    <col min="2" max="2" width="12.26953125" bestFit="1" customWidth="1"/>
    <col min="3" max="3" width="14.1796875" bestFit="1" customWidth="1"/>
    <col min="5" max="5" width="11.81640625" bestFit="1" customWidth="1"/>
    <col min="6" max="6" width="12.6328125" bestFit="1" customWidth="1"/>
    <col min="7" max="7" width="10.08984375" bestFit="1" customWidth="1"/>
    <col min="8" max="8" width="13.90625" bestFit="1" customWidth="1"/>
    <col min="9" max="10" width="10.08984375" customWidth="1"/>
    <col min="11" max="12" width="23.26953125" bestFit="1" customWidth="1"/>
    <col min="13" max="13" width="14.453125" bestFit="1" customWidth="1"/>
    <col min="15" max="15" width="10.08984375" bestFit="1" customWidth="1"/>
  </cols>
  <sheetData>
    <row r="1" spans="1:20" s="2" customFormat="1" ht="43.5" x14ac:dyDescent="0.35">
      <c r="C1" s="2" t="s">
        <v>8</v>
      </c>
      <c r="D1" s="2" t="s">
        <v>2</v>
      </c>
      <c r="E1" s="2" t="s">
        <v>40</v>
      </c>
      <c r="F1" s="2" t="s">
        <v>41</v>
      </c>
      <c r="G1" s="2" t="s">
        <v>39</v>
      </c>
      <c r="H1" s="2" t="s">
        <v>43</v>
      </c>
      <c r="I1" s="2" t="s">
        <v>44</v>
      </c>
      <c r="J1" s="2" t="s">
        <v>42</v>
      </c>
      <c r="K1" s="2" t="s">
        <v>5</v>
      </c>
      <c r="L1" s="2" t="s">
        <v>5</v>
      </c>
      <c r="M1" s="2" t="s">
        <v>6</v>
      </c>
      <c r="N1" s="2" t="s">
        <v>37</v>
      </c>
    </row>
    <row r="2" spans="1:20" x14ac:dyDescent="0.35">
      <c r="A2" t="s">
        <v>0</v>
      </c>
      <c r="B2" t="s">
        <v>1</v>
      </c>
      <c r="C2" t="str" cm="1">
        <f t="array" ref="C2">simpleCellRegex(A2,$L$2)</f>
        <v>toms   cabin</v>
      </c>
      <c r="D2" t="str" cm="1">
        <f t="array" ref="D2">simpleCellRegex(A2,$M$2)</f>
        <v>'-_</v>
      </c>
      <c r="E2" t="str" cm="1">
        <f t="array" ref="E2">simpleCellRegex(A2,$K$2)</f>
        <v>tomscabin</v>
      </c>
      <c r="F2" t="str" cm="1">
        <f t="array" ref="F2">simpleCellRegex(B2,$K$2)</f>
        <v>tomscabin</v>
      </c>
      <c r="G2" t="str">
        <f>IF(COUNTIF(F$2:F$4,E2)&gt;0,"yes","no")</f>
        <v>yes</v>
      </c>
      <c r="H2" t="str">
        <f>SUBSTITUTE(SUBSTITUTE(SUBSTITUTE(SUBSTITUTE(A2,"-","")," ",""),"'",""),"_","")</f>
        <v>tomscabin</v>
      </c>
      <c r="I2" t="str">
        <f>SUBSTITUTE(SUBSTITUTE(SUBSTITUTE(SUBSTITUTE(B2,"-","")," ",""),"'",""),"_","")</f>
        <v>tomscabin</v>
      </c>
      <c r="J2" t="str">
        <f>IF(COUNTIF($I$2:$I$5,H2)&gt;0,"yes","no")</f>
        <v>yes</v>
      </c>
      <c r="K2" t="s">
        <v>3</v>
      </c>
      <c r="L2" t="s">
        <v>4</v>
      </c>
      <c r="M2" t="s">
        <v>7</v>
      </c>
      <c r="R2" t="s">
        <v>12</v>
      </c>
    </row>
    <row r="3" spans="1:20" x14ac:dyDescent="0.35">
      <c r="A3" t="s">
        <v>9</v>
      </c>
      <c r="B3" t="s">
        <v>9</v>
      </c>
      <c r="C3" t="str" cm="1">
        <f t="array" ref="C3">simpleCellRegex(A3,$L$2)</f>
        <v/>
      </c>
      <c r="D3" t="str" cm="1">
        <f t="array" ref="D3">simpleCellRegex(A3,$M$2)</f>
        <v/>
      </c>
      <c r="E3" t="str" cm="1">
        <f t="array" ref="E3">simpleCellRegex(A3,$K$2)</f>
        <v>billyscabin</v>
      </c>
      <c r="F3" t="str" cm="1">
        <f t="array" ref="F3">simpleCellRegex(B3,$K$2)</f>
        <v>billyscabin</v>
      </c>
      <c r="G3" t="str">
        <f t="shared" ref="G3:G5" si="0">IF(COUNTIF(F$2:F$4,E3)&gt;0,"yes","no")</f>
        <v>yes</v>
      </c>
      <c r="H3" t="str">
        <f t="shared" ref="H3:I5" si="1">SUBSTITUTE(SUBSTITUTE(SUBSTITUTE(SUBSTITUTE(A3,"-","")," ",""),"'",""),"_","")</f>
        <v>billyscabin</v>
      </c>
      <c r="I3" t="str">
        <f t="shared" si="1"/>
        <v>billyscabin</v>
      </c>
      <c r="J3" t="str">
        <f t="shared" ref="J3:J5" si="2">IF(COUNTIF($I$2:$I$5,H3)&gt;0,"yes","no")</f>
        <v>yes</v>
      </c>
      <c r="O3" s="1">
        <v>44927</v>
      </c>
      <c r="P3" t="str">
        <f>TEXT(O3,"mmmm")</f>
        <v>January</v>
      </c>
      <c r="Q3" t="str">
        <f>VLOOKUP(P3,S$3:T$14,2,FALSE)</f>
        <v>enero</v>
      </c>
      <c r="S3" t="s">
        <v>13</v>
      </c>
      <c r="T3" t="s">
        <v>24</v>
      </c>
    </row>
    <row r="4" spans="1:20" x14ac:dyDescent="0.35">
      <c r="A4" t="s">
        <v>10</v>
      </c>
      <c r="B4" t="s">
        <v>11</v>
      </c>
      <c r="C4" t="str" cm="1">
        <f t="array" ref="C4">simpleCellRegex(A4,$L$2)</f>
        <v>jimmys cabin</v>
      </c>
      <c r="D4" t="str" cm="1">
        <f t="array" ref="D4">simpleCellRegex(A4,$M$2)</f>
        <v>'</v>
      </c>
      <c r="E4" t="str" cm="1">
        <f t="array" ref="E4">simpleCellRegex(A4,$K$2)</f>
        <v>jimmyscabin</v>
      </c>
      <c r="F4" t="str" cm="1">
        <f t="array" ref="F4">simpleCellRegex(B4,$K$2)</f>
        <v>jimmyscabin</v>
      </c>
      <c r="G4" t="str">
        <f t="shared" si="0"/>
        <v>yes</v>
      </c>
      <c r="H4" t="str">
        <f t="shared" si="1"/>
        <v>jimmyscabin</v>
      </c>
      <c r="I4" t="str">
        <f t="shared" si="1"/>
        <v>jimmyscabin</v>
      </c>
      <c r="J4" t="str">
        <f t="shared" si="2"/>
        <v>yes</v>
      </c>
      <c r="O4" s="1">
        <v>45505</v>
      </c>
      <c r="P4" t="str">
        <f t="shared" ref="P4:P5" si="3">TEXT(O4,"mmmm")</f>
        <v>August</v>
      </c>
      <c r="Q4" t="str">
        <f t="shared" ref="Q4:Q5" si="4">VLOOKUP(P4,S$3:T$14,2,FALSE)</f>
        <v>agosto</v>
      </c>
      <c r="S4" t="s">
        <v>14</v>
      </c>
      <c r="T4" t="s">
        <v>25</v>
      </c>
    </row>
    <row r="5" spans="1:20" x14ac:dyDescent="0.35">
      <c r="A5" t="s">
        <v>38</v>
      </c>
      <c r="C5" t="str" cm="1">
        <f t="array" ref="C5">simpleCellRegex(A5,$L$2)</f>
        <v>be</v>
      </c>
      <c r="D5" t="str" cm="1">
        <f t="array" ref="D5">simpleCellRegex(A5,$M$2)</f>
        <v>12345678</v>
      </c>
      <c r="E5" t="str" cm="1">
        <f t="array" ref="E5">simpleCellRegex(A5,$K$2)</f>
        <v>be</v>
      </c>
      <c r="F5" t="str" cm="1">
        <f t="array" ref="F5">simpleCellRegex(B5,$K$2)</f>
        <v/>
      </c>
      <c r="G5" t="str">
        <f t="shared" si="0"/>
        <v>no</v>
      </c>
      <c r="H5" t="str">
        <f t="shared" si="1"/>
        <v>be12345678</v>
      </c>
      <c r="I5" t="str">
        <f t="shared" si="1"/>
        <v/>
      </c>
      <c r="J5" t="str">
        <f t="shared" si="2"/>
        <v>no</v>
      </c>
      <c r="O5" s="1">
        <v>45536</v>
      </c>
      <c r="P5" t="str">
        <f t="shared" si="3"/>
        <v>September</v>
      </c>
      <c r="Q5" t="str">
        <f t="shared" si="4"/>
        <v>septiembre</v>
      </c>
      <c r="S5" t="s">
        <v>15</v>
      </c>
      <c r="T5" t="s">
        <v>26</v>
      </c>
    </row>
    <row r="6" spans="1:20" x14ac:dyDescent="0.35">
      <c r="E6" t="str" cm="1">
        <f t="array" ref="E6">simpleCellRegex(A6,$K$2)</f>
        <v/>
      </c>
      <c r="S6" t="s">
        <v>16</v>
      </c>
      <c r="T6" t="s">
        <v>27</v>
      </c>
    </row>
    <row r="7" spans="1:20" x14ac:dyDescent="0.35">
      <c r="S7" t="s">
        <v>17</v>
      </c>
      <c r="T7" t="s">
        <v>28</v>
      </c>
    </row>
    <row r="8" spans="1:20" x14ac:dyDescent="0.35">
      <c r="S8" t="s">
        <v>18</v>
      </c>
      <c r="T8" t="s">
        <v>29</v>
      </c>
    </row>
    <row r="9" spans="1:20" x14ac:dyDescent="0.35">
      <c r="S9" t="s">
        <v>19</v>
      </c>
      <c r="T9" t="s">
        <v>30</v>
      </c>
    </row>
    <row r="10" spans="1:20" x14ac:dyDescent="0.35">
      <c r="S10" t="s">
        <v>20</v>
      </c>
      <c r="T10" t="s">
        <v>31</v>
      </c>
    </row>
    <row r="11" spans="1:20" x14ac:dyDescent="0.35">
      <c r="S11" t="s">
        <v>36</v>
      </c>
      <c r="T11" t="s">
        <v>35</v>
      </c>
    </row>
    <row r="12" spans="1:20" x14ac:dyDescent="0.35">
      <c r="S12" t="s">
        <v>21</v>
      </c>
      <c r="T12" t="s">
        <v>32</v>
      </c>
    </row>
    <row r="13" spans="1:20" x14ac:dyDescent="0.35">
      <c r="S13" t="s">
        <v>22</v>
      </c>
      <c r="T13" t="s">
        <v>33</v>
      </c>
    </row>
    <row r="14" spans="1:20" x14ac:dyDescent="0.35">
      <c r="S14" t="s">
        <v>23</v>
      </c>
      <c r="T14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dermot donnelly</dc:creator>
  <cp:lastModifiedBy>dermot donnelly</cp:lastModifiedBy>
  <dcterms:created xsi:type="dcterms:W3CDTF">2024-08-14T18:55:40Z</dcterms:created>
  <dcterms:modified xsi:type="dcterms:W3CDTF">2024-08-14T21:03:30Z</dcterms:modified>
</cp:coreProperties>
</file>